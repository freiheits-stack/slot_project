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ih\Documents\Sem_5\Projekt CSE\slot_project\docs\"/>
    </mc:Choice>
  </mc:AlternateContent>
  <xr:revisionPtr revIDLastSave="0" documentId="13_ncr:1_{B45D0C4C-02C8-42D1-ACEB-6A586C90B326}" xr6:coauthVersionLast="47" xr6:coauthVersionMax="47" xr10:uidLastSave="{00000000-0000-0000-0000-000000000000}"/>
  <bookViews>
    <workbookView xWindow="-110" yWindow="-110" windowWidth="25820" windowHeight="15500" xr2:uid="{3DA6BB49-8120-4A03-86C5-3E6ECA302C2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K6" i="1"/>
  <c r="K7" i="1"/>
  <c r="K8" i="1"/>
  <c r="K9" i="1"/>
  <c r="J6" i="1"/>
  <c r="J7" i="1"/>
  <c r="J8" i="1"/>
  <c r="J9" i="1"/>
  <c r="G6" i="1"/>
  <c r="G7" i="1"/>
  <c r="G8" i="1"/>
  <c r="G9" i="1"/>
  <c r="H6" i="1"/>
  <c r="H7" i="1"/>
  <c r="H8" i="1"/>
  <c r="H9" i="1"/>
  <c r="B6" i="1"/>
  <c r="B7" i="1"/>
  <c r="B8" i="1"/>
  <c r="B9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</calcChain>
</file>

<file path=xl/sharedStrings.xml><?xml version="1.0" encoding="utf-8"?>
<sst xmlns="http://schemas.openxmlformats.org/spreadsheetml/2006/main" count="40" uniqueCount="40">
  <si>
    <t xml:space="preserve">Quelle / Gamble Mode </t>
  </si>
  <si>
    <t>Pseudo / Always</t>
  </si>
  <si>
    <t>Quantum / Always</t>
  </si>
  <si>
    <t>Pseudo / Never</t>
  </si>
  <si>
    <t>Quantum / Never</t>
  </si>
  <si>
    <t>Abweichung Quellen / Always [%]</t>
  </si>
  <si>
    <t>Abweichung Quellen / Never [%]</t>
  </si>
  <si>
    <t>Pseudo / Abweichung Gamble Modes [%]</t>
  </si>
  <si>
    <t>Quantum / Abweichung Gamble Modes [%]</t>
  </si>
  <si>
    <t>Interpretation</t>
  </si>
  <si>
    <t>Runs-Test (p-value, Wald-Wolfowitz)</t>
  </si>
  <si>
    <t>Gibt maximale Verlustserie an,
kein signifikanter Unterschied zwischen den Quellen,
Gamble Mode macht aus 50% der Gewinne Verluste</t>
  </si>
  <si>
    <t>Misst die Trefferquote,
kein signifikanter Unterschied zwischen den Quellen,
Gamble Mode halbiert die Trefferquote</t>
  </si>
  <si>
    <t>Varianz (Spins)</t>
  </si>
  <si>
    <t>Misst den mittleren Abstand zwischen den Treffer, kein signifikanter Unterschied zwischen den Quellen, Gamble Mode erhöht den Abstand zwischen den Treffern</t>
  </si>
  <si>
    <t>RTP (Run)</t>
  </si>
  <si>
    <t>Misst das Verhältnis von Auszahlungen zu den Einsätzen, keine signifikanten Unterschiede</t>
  </si>
  <si>
    <t>Gibt durchschnittliches Endguthaben an, 
Quantum erzielte deutlich höhere Gewinne als Pseudo,
Gamble Mode erhöht das Endguthaben merklich</t>
  </si>
  <si>
    <t>Endguthaben (Run)</t>
  </si>
  <si>
    <t xml:space="preserve">Max. Verlustserie (Run) </t>
  </si>
  <si>
    <t>Gibt maximale Gewinnserie an,
kein signifikanter Unterschied zwischen den Quellen,
Gamble Mode reduziert die Gewinnserien drastisch</t>
  </si>
  <si>
    <t>Trefferquote (Spins)</t>
  </si>
  <si>
    <t>Max. Gewinnserie (Run)</t>
  </si>
  <si>
    <t>Gibt durchschnittlichen Gewinn pro Spin an, kein signifikanter Unterschied</t>
  </si>
  <si>
    <t>Durchschnittlicher Gewinn (Spins)</t>
  </si>
  <si>
    <t>Mittlerer Trefferabstand (Run)</t>
  </si>
  <si>
    <t>Autocorrelation (Spins)</t>
  </si>
  <si>
    <t>Misst Abhängigkeit zwischen aufeinanderfolgenden Spins, keinesignifikanten Abhängigkeiten messbar</t>
  </si>
  <si>
    <t xml:space="preserve">Testet Zufälligkeit von Gewinn- und Verustabfolgen, 
Deutliche Abweichung bei Quantum / Always, allerdings weit vom kritischen Wert 0,05 entfernt, Schwnkungen normal da p-Werte Zufallsbehaftet </t>
  </si>
  <si>
    <t>Durchschnitt</t>
  </si>
  <si>
    <t>Standartabweichung</t>
  </si>
  <si>
    <t>T-Test (Mittelwert) p-Wert never</t>
  </si>
  <si>
    <t>T-Test (Mittelwert) p-Wert allways</t>
  </si>
  <si>
    <t>Mann-Whitney (Rangverteilung) p-Wert never</t>
  </si>
  <si>
    <t>Mann-Whitney (Rangverteilung) p-Wert always</t>
  </si>
  <si>
    <t>KS-Test (gesamte Verteilung) p-Wert never</t>
  </si>
  <si>
    <t>KS-Test (gesamte Verteilung) p-Wert always</t>
  </si>
  <si>
    <t>Cohen's d (Zufälligkeit des Unterschieds) never</t>
  </si>
  <si>
    <t>Cohen's d (Zufälligkeit des Unterschieds) always</t>
  </si>
  <si>
    <t>Gibt die Varianz an, kein signifikanter Unterschied zwischen den Quellen,
Gamble Mode erhöht die Varianz drastisch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</si>
</sst>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"/>
    <numFmt numFmtId="167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3" xfId="0" applyFont="1" applyBorder="1"/>
    <xf numFmtId="0" fontId="0" fillId="0" borderId="2" xfId="0" applyBorder="1"/>
    <xf numFmtId="0" fontId="1" fillId="0" borderId="3" xfId="0" applyFont="1" applyFill="1" applyBorder="1"/>
    <xf numFmtId="0" fontId="0" fillId="0" borderId="6" xfId="0" applyBorder="1"/>
    <xf numFmtId="0" fontId="0" fillId="0" borderId="8" xfId="0" applyBorder="1"/>
    <xf numFmtId="0" fontId="1" fillId="0" borderId="1" xfId="0" applyFont="1" applyFill="1" applyBorder="1" applyAlignment="1">
      <alignment vertical="center"/>
    </xf>
    <xf numFmtId="0" fontId="0" fillId="0" borderId="6" xfId="0" applyBorder="1" applyAlignment="1">
      <alignment horizontal="left"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Border="1"/>
    <xf numFmtId="0" fontId="0" fillId="0" borderId="0" xfId="0" applyBorder="1"/>
    <xf numFmtId="0" fontId="0" fillId="0" borderId="9" xfId="0" applyBorder="1"/>
    <xf numFmtId="2" fontId="0" fillId="0" borderId="8" xfId="0" applyNumberFormat="1" applyBorder="1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/>
    <xf numFmtId="0" fontId="0" fillId="0" borderId="0" xfId="0" applyAlignment="1">
      <alignment vertical="top" wrapText="1"/>
    </xf>
    <xf numFmtId="0" fontId="0" fillId="0" borderId="6" xfId="0" applyFill="1" applyBorder="1"/>
    <xf numFmtId="0" fontId="0" fillId="0" borderId="6" xfId="0" applyFill="1" applyBorder="1" applyAlignment="1">
      <alignment horizontal="left" vertical="top" wrapText="1"/>
    </xf>
    <xf numFmtId="164" fontId="0" fillId="0" borderId="6" xfId="0" applyNumberFormat="1" applyFill="1" applyBorder="1"/>
    <xf numFmtId="0" fontId="0" fillId="0" borderId="10" xfId="0" applyBorder="1"/>
    <xf numFmtId="164" fontId="0" fillId="0" borderId="0" xfId="0" applyNumberFormat="1" applyFill="1" applyBorder="1"/>
    <xf numFmtId="0" fontId="0" fillId="0" borderId="0" xfId="0" applyFill="1" applyBorder="1"/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9" xfId="0" applyFill="1" applyBorder="1"/>
    <xf numFmtId="0" fontId="0" fillId="0" borderId="6" xfId="0" applyBorder="1" applyAlignment="1">
      <alignment vertical="top" wrapText="1"/>
    </xf>
    <xf numFmtId="0" fontId="1" fillId="2" borderId="4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2" fontId="0" fillId="0" borderId="6" xfId="0" applyNumberFormat="1" applyBorder="1"/>
    <xf numFmtId="164" fontId="0" fillId="0" borderId="2" xfId="0" applyNumberFormat="1" applyBorder="1"/>
    <xf numFmtId="0" fontId="1" fillId="0" borderId="5" xfId="0" applyFont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166" fontId="0" fillId="0" borderId="2" xfId="0" applyNumberFormat="1" applyBorder="1"/>
    <xf numFmtId="0" fontId="0" fillId="0" borderId="2" xfId="0" applyFill="1" applyBorder="1"/>
    <xf numFmtId="0" fontId="0" fillId="3" borderId="0" xfId="0" applyFill="1" applyBorder="1"/>
    <xf numFmtId="0" fontId="0" fillId="3" borderId="6" xfId="0" applyFill="1" applyBorder="1"/>
    <xf numFmtId="165" fontId="0" fillId="3" borderId="8" xfId="0" applyNumberFormat="1" applyFill="1" applyBorder="1"/>
    <xf numFmtId="0" fontId="0" fillId="0" borderId="8" xfId="0" applyFill="1" applyBorder="1"/>
    <xf numFmtId="0" fontId="0" fillId="3" borderId="8" xfId="0" applyFill="1" applyBorder="1"/>
    <xf numFmtId="164" fontId="0" fillId="0" borderId="8" xfId="0" applyNumberFormat="1" applyBorder="1"/>
    <xf numFmtId="164" fontId="0" fillId="0" borderId="6" xfId="0" applyNumberFormat="1" applyBorder="1"/>
    <xf numFmtId="164" fontId="0" fillId="0" borderId="8" xfId="0" applyNumberFormat="1" applyFill="1" applyBorder="1"/>
    <xf numFmtId="164" fontId="0" fillId="0" borderId="2" xfId="0" applyNumberFormat="1" applyFill="1" applyBorder="1"/>
    <xf numFmtId="166" fontId="0" fillId="0" borderId="8" xfId="0" applyNumberFormat="1" applyBorder="1"/>
    <xf numFmtId="2" fontId="0" fillId="0" borderId="2" xfId="0" applyNumberFormat="1" applyFill="1" applyBorder="1"/>
    <xf numFmtId="167" fontId="0" fillId="0" borderId="2" xfId="0" applyNumberFormat="1" applyFill="1" applyBorder="1"/>
    <xf numFmtId="164" fontId="0" fillId="3" borderId="6" xfId="0" applyNumberFormat="1" applyFill="1" applyBorder="1"/>
    <xf numFmtId="2" fontId="0" fillId="0" borderId="8" xfId="0" applyNumberFormat="1" applyFill="1" applyBorder="1"/>
    <xf numFmtId="164" fontId="0" fillId="0" borderId="9" xfId="0" applyNumberFormat="1" applyBorder="1"/>
    <xf numFmtId="164" fontId="0" fillId="0" borderId="0" xfId="0" applyNumberFormat="1" applyBorder="1"/>
    <xf numFmtId="164" fontId="0" fillId="0" borderId="12" xfId="0" applyNumberFormat="1" applyBorder="1"/>
    <xf numFmtId="164" fontId="0" fillId="0" borderId="11" xfId="0" applyNumberFormat="1" applyBorder="1"/>
    <xf numFmtId="164" fontId="0" fillId="3" borderId="9" xfId="0" applyNumberFormat="1" applyFill="1" applyBorder="1"/>
    <xf numFmtId="164" fontId="0" fillId="0" borderId="1" xfId="0" applyNumberFormat="1" applyBorder="1"/>
    <xf numFmtId="164" fontId="0" fillId="2" borderId="6" xfId="0" applyNumberFormat="1" applyFill="1" applyBorder="1"/>
    <xf numFmtId="164" fontId="0" fillId="2" borderId="0" xfId="0" applyNumberFormat="1" applyFill="1" applyBorder="1"/>
    <xf numFmtId="164" fontId="0" fillId="3" borderId="10" xfId="0" applyNumberFormat="1" applyFill="1" applyBorder="1"/>
    <xf numFmtId="164" fontId="0" fillId="2" borderId="8" xfId="0" applyNumberFormat="1" applyFill="1" applyBorder="1"/>
    <xf numFmtId="164" fontId="0" fillId="2" borderId="2" xfId="0" applyNumberFormat="1" applyFill="1" applyBorder="1"/>
    <xf numFmtId="164" fontId="0" fillId="0" borderId="3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9DB0-F4F8-45C5-9EF7-1FDED2FD7CEE}">
  <dimension ref="A1:K20"/>
  <sheetViews>
    <sheetView tabSelected="1" workbookViewId="0">
      <pane xSplit="1" topLeftCell="B1" activePane="topRight" state="frozen"/>
      <selection pane="topRight" activeCell="G20" sqref="G20"/>
    </sheetView>
  </sheetViews>
  <sheetFormatPr baseColWidth="10" defaultRowHeight="14.5" x14ac:dyDescent="0.35"/>
  <cols>
    <col min="1" max="1" width="41.7265625" bestFit="1" customWidth="1"/>
    <col min="2" max="2" width="17.1796875" bestFit="1" customWidth="1"/>
    <col min="3" max="3" width="20.6328125" style="12" customWidth="1"/>
    <col min="4" max="4" width="18.453125" style="12" customWidth="1"/>
    <col min="5" max="5" width="19.08984375" style="12" customWidth="1"/>
    <col min="6" max="7" width="19.7265625" style="12" customWidth="1"/>
    <col min="8" max="8" width="19.1796875" customWidth="1"/>
    <col min="9" max="9" width="14.6328125" customWidth="1"/>
    <col min="10" max="10" width="18.26953125" customWidth="1"/>
    <col min="11" max="11" width="19.7265625" customWidth="1"/>
  </cols>
  <sheetData>
    <row r="1" spans="1:11" s="10" customFormat="1" ht="29.5" thickBot="1" x14ac:dyDescent="0.4">
      <c r="A1" s="32" t="s">
        <v>0</v>
      </c>
      <c r="B1" s="29" t="s">
        <v>10</v>
      </c>
      <c r="C1" s="33" t="s">
        <v>21</v>
      </c>
      <c r="D1" s="28" t="s">
        <v>13</v>
      </c>
      <c r="E1" s="33" t="s">
        <v>19</v>
      </c>
      <c r="F1" s="28" t="s">
        <v>25</v>
      </c>
      <c r="G1" s="34" t="s">
        <v>18</v>
      </c>
      <c r="H1" s="35" t="s">
        <v>15</v>
      </c>
      <c r="I1" s="10" t="s">
        <v>26</v>
      </c>
      <c r="J1" s="33" t="s">
        <v>22</v>
      </c>
      <c r="K1" s="10" t="s">
        <v>24</v>
      </c>
    </row>
    <row r="2" spans="1:11" x14ac:dyDescent="0.35">
      <c r="A2" s="1" t="s">
        <v>3</v>
      </c>
      <c r="B2">
        <v>0.50860000000000005</v>
      </c>
      <c r="C2" s="6">
        <v>0.239898</v>
      </c>
      <c r="D2" s="12">
        <v>202.29300000000001</v>
      </c>
      <c r="E2" s="6">
        <v>25.88</v>
      </c>
      <c r="F2" s="22">
        <v>4.1619999999999999</v>
      </c>
      <c r="G2" s="18">
        <v>233.8</v>
      </c>
      <c r="H2" s="18">
        <v>0.90590999999999999</v>
      </c>
      <c r="I2" s="16">
        <v>5.9762000000000001E-3</v>
      </c>
      <c r="J2" s="30">
        <v>5.4</v>
      </c>
      <c r="K2" s="26">
        <v>3.5295999999999998</v>
      </c>
    </row>
    <row r="3" spans="1:11" s="12" customFormat="1" x14ac:dyDescent="0.35">
      <c r="A3" s="11" t="s">
        <v>4</v>
      </c>
      <c r="B3" s="13">
        <v>0.41170000000000001</v>
      </c>
      <c r="C3" s="6">
        <v>0.23841200000000001</v>
      </c>
      <c r="D3" s="12">
        <v>203.22399999999999</v>
      </c>
      <c r="E3" s="6">
        <v>26.14</v>
      </c>
      <c r="F3" s="12">
        <v>4.1947999999999999</v>
      </c>
      <c r="G3" s="39">
        <v>389.2</v>
      </c>
      <c r="H3" s="18">
        <v>0.91132000000000002</v>
      </c>
      <c r="I3" s="16">
        <v>3.968E-4</v>
      </c>
      <c r="J3" s="30">
        <v>5.38</v>
      </c>
      <c r="K3" s="26">
        <v>3.5566</v>
      </c>
    </row>
    <row r="4" spans="1:11" x14ac:dyDescent="0.35">
      <c r="A4" s="1" t="s">
        <v>1</v>
      </c>
      <c r="B4">
        <v>0.51770000000000005</v>
      </c>
      <c r="C4" s="6">
        <v>0.118897</v>
      </c>
      <c r="D4" s="12">
        <v>430.82499999999999</v>
      </c>
      <c r="E4" s="6">
        <v>50.14</v>
      </c>
      <c r="F4" s="23">
        <v>8.3945000000000007</v>
      </c>
      <c r="G4" s="18">
        <v>425.4</v>
      </c>
      <c r="H4" s="18">
        <v>0.90632999999999997</v>
      </c>
      <c r="I4" s="16">
        <v>6.1104000000000002E-3</v>
      </c>
      <c r="J4" s="30">
        <v>3.5</v>
      </c>
      <c r="K4" s="26">
        <v>3.5316000000000001</v>
      </c>
    </row>
    <row r="5" spans="1:11" s="4" customFormat="1" x14ac:dyDescent="0.35">
      <c r="A5" s="3" t="s">
        <v>2</v>
      </c>
      <c r="B5" s="21">
        <v>0.52680000000000005</v>
      </c>
      <c r="C5" s="7">
        <v>0.117299</v>
      </c>
      <c r="D5" s="36">
        <v>433.6</v>
      </c>
      <c r="E5" s="7">
        <v>48.86</v>
      </c>
      <c r="F5" s="4">
        <v>8.5025999999999993</v>
      </c>
      <c r="G5" s="40">
        <v>585</v>
      </c>
      <c r="H5" s="7">
        <v>0.89119000000000004</v>
      </c>
      <c r="I5" s="4">
        <v>-1.0516E-3</v>
      </c>
      <c r="J5" s="14">
        <v>3.38</v>
      </c>
      <c r="K5" s="31">
        <v>3.456</v>
      </c>
    </row>
    <row r="6" spans="1:11" x14ac:dyDescent="0.35">
      <c r="A6" s="2" t="s">
        <v>5</v>
      </c>
      <c r="B6" s="52">
        <f t="shared" ref="B6:K6" si="0">ABS(100-100/B4*B5)</f>
        <v>1.7577747730345834</v>
      </c>
      <c r="C6" s="44">
        <f t="shared" si="0"/>
        <v>1.3440204546792671</v>
      </c>
      <c r="D6" s="53">
        <f t="shared" si="0"/>
        <v>0.64411303893693628</v>
      </c>
      <c r="E6" s="44">
        <f t="shared" si="0"/>
        <v>2.5528520143598001</v>
      </c>
      <c r="F6" s="53">
        <f t="shared" si="0"/>
        <v>1.2877479301923671</v>
      </c>
      <c r="G6" s="44">
        <f>ABS(100-100/G4*G5)</f>
        <v>37.517630465444313</v>
      </c>
      <c r="H6" s="44">
        <f t="shared" si="0"/>
        <v>1.6704732271909677</v>
      </c>
      <c r="I6" s="54">
        <f t="shared" ref="I6" si="1">ABS(100-100/I4*I5)</f>
        <v>117.21000261848651</v>
      </c>
      <c r="J6" s="55">
        <f t="shared" si="0"/>
        <v>3.4285714285714306</v>
      </c>
      <c r="K6" s="55">
        <f t="shared" si="0"/>
        <v>2.140672782874617</v>
      </c>
    </row>
    <row r="7" spans="1:11" x14ac:dyDescent="0.35">
      <c r="A7" s="2" t="s">
        <v>6</v>
      </c>
      <c r="B7" s="56">
        <f t="shared" ref="B7" si="2">ABS(100-100/B2*B3)</f>
        <v>19.052300432559974</v>
      </c>
      <c r="C7" s="44">
        <f t="shared" ref="C7:F7" si="3">ABS(100-100/C2*C3)</f>
        <v>0.61942992438451938</v>
      </c>
      <c r="D7" s="53">
        <f t="shared" si="3"/>
        <v>0.46022353714660369</v>
      </c>
      <c r="E7" s="44">
        <f t="shared" si="3"/>
        <v>1.0046367851622904</v>
      </c>
      <c r="F7" s="53">
        <f t="shared" si="3"/>
        <v>0.78808265257087839</v>
      </c>
      <c r="G7" s="44">
        <f>ABS(100-100/G2*G3)</f>
        <v>66.467065868263461</v>
      </c>
      <c r="H7" s="44">
        <f t="shared" ref="H7" si="4">ABS(100-100/H2*H3)</f>
        <v>0.59718956629247089</v>
      </c>
      <c r="I7" s="57">
        <f t="shared" ref="I7" si="5">ABS(100-100/I2*I3)</f>
        <v>93.360329306248119</v>
      </c>
      <c r="J7" s="44">
        <f t="shared" ref="J7:K7" si="6">ABS(100-100/J2*J3)</f>
        <v>0.37037037037036669</v>
      </c>
      <c r="K7" s="44">
        <f t="shared" si="6"/>
        <v>0.76495920217588775</v>
      </c>
    </row>
    <row r="8" spans="1:11" x14ac:dyDescent="0.35">
      <c r="A8" s="2" t="s">
        <v>7</v>
      </c>
      <c r="B8" s="52">
        <f t="shared" ref="B8" si="7">ABS(100-100/B2*B4)</f>
        <v>1.7892253244199878</v>
      </c>
      <c r="C8" s="58">
        <f t="shared" ref="C8:F8" si="8">ABS(100-100/C2*C4)</f>
        <v>50.438519704207621</v>
      </c>
      <c r="D8" s="59">
        <f t="shared" si="8"/>
        <v>112.97078989386679</v>
      </c>
      <c r="E8" s="58">
        <f t="shared" si="8"/>
        <v>93.740340030911909</v>
      </c>
      <c r="F8" s="59">
        <f t="shared" si="8"/>
        <v>101.69389716482462</v>
      </c>
      <c r="G8" s="44">
        <f>ABS(100-100/G2*G4)</f>
        <v>81.950384944396916</v>
      </c>
      <c r="H8" s="44">
        <f t="shared" ref="H8" si="9">ABS(100-100/H2*H4)</f>
        <v>4.6362221412721283E-2</v>
      </c>
      <c r="I8" s="57">
        <f t="shared" ref="I8" si="10">ABS(100-100/I2*I4)</f>
        <v>2.2455741106388558</v>
      </c>
      <c r="J8" s="58">
        <f t="shared" ref="J8:K8" si="11">ABS(100-100/J2*J4)</f>
        <v>35.18518518518519</v>
      </c>
      <c r="K8" s="44">
        <f t="shared" si="11"/>
        <v>5.6663644605635E-2</v>
      </c>
    </row>
    <row r="9" spans="1:11" s="4" customFormat="1" x14ac:dyDescent="0.35">
      <c r="A9" s="5" t="s">
        <v>8</v>
      </c>
      <c r="B9" s="60">
        <f t="shared" ref="B9" si="12">ABS(100-100/B3*B5)</f>
        <v>27.957250425066803</v>
      </c>
      <c r="C9" s="61">
        <f t="shared" ref="C9:F9" si="13">ABS(100-100/C3*C5)</f>
        <v>50.799875845175585</v>
      </c>
      <c r="D9" s="62">
        <f t="shared" si="13"/>
        <v>113.36062669763416</v>
      </c>
      <c r="E9" s="61">
        <f t="shared" si="13"/>
        <v>86.916602907421577</v>
      </c>
      <c r="F9" s="62">
        <f t="shared" si="13"/>
        <v>102.69381138552492</v>
      </c>
      <c r="G9" s="43">
        <f>ABS(100-100/G3*G5)</f>
        <v>50.308324768756421</v>
      </c>
      <c r="H9" s="43">
        <f t="shared" ref="H9" si="14">ABS(100-100/H3*H5)</f>
        <v>2.2088838168810128</v>
      </c>
      <c r="I9" s="63">
        <f t="shared" ref="I9" si="15">ABS(100-100/I3*I5)</f>
        <v>365.02016129032256</v>
      </c>
      <c r="J9" s="61">
        <f t="shared" ref="J9:K9" si="16">ABS(100-100/J3*J5)</f>
        <v>37.174721189591075</v>
      </c>
      <c r="K9" s="43">
        <f t="shared" si="16"/>
        <v>2.8285441151661672</v>
      </c>
    </row>
    <row r="10" spans="1:11" s="12" customFormat="1" x14ac:dyDescent="0.35">
      <c r="A10" s="2" t="s">
        <v>29</v>
      </c>
      <c r="B10" s="23">
        <v>0.49120000000000003</v>
      </c>
      <c r="C10" s="18">
        <v>0.17860000000000001</v>
      </c>
      <c r="D10" s="23">
        <v>317.99</v>
      </c>
      <c r="E10" s="18">
        <v>37.76</v>
      </c>
      <c r="F10" s="23">
        <v>6.3135000000000003</v>
      </c>
      <c r="G10" s="18">
        <v>408.35</v>
      </c>
      <c r="H10" s="6">
        <v>0.90369999999999995</v>
      </c>
      <c r="I10" s="18">
        <v>2.8600000000000001E-3</v>
      </c>
      <c r="J10" s="6">
        <v>4.415</v>
      </c>
      <c r="K10" s="6">
        <v>4.415</v>
      </c>
    </row>
    <row r="11" spans="1:11" s="4" customFormat="1" x14ac:dyDescent="0.35">
      <c r="A11" s="5" t="s">
        <v>30</v>
      </c>
      <c r="B11" s="46">
        <v>4.7E-2</v>
      </c>
      <c r="C11" s="45">
        <v>6.0999999999999999E-2</v>
      </c>
      <c r="D11" s="48">
        <v>115.7</v>
      </c>
      <c r="E11" s="41">
        <v>11.86</v>
      </c>
      <c r="F11" s="46">
        <v>2.12</v>
      </c>
      <c r="G11" s="51">
        <v>126.6</v>
      </c>
      <c r="H11" s="7">
        <v>8.6E-3</v>
      </c>
      <c r="I11" s="49">
        <v>3.0000000000000001E-3</v>
      </c>
      <c r="J11" s="47">
        <v>0.97</v>
      </c>
      <c r="K11" s="47">
        <v>0.97</v>
      </c>
    </row>
    <row r="12" spans="1:11" s="12" customFormat="1" x14ac:dyDescent="0.35">
      <c r="A12" s="2" t="s">
        <v>31</v>
      </c>
      <c r="B12" s="38">
        <v>0.88719999999999999</v>
      </c>
      <c r="C12" s="18">
        <v>0.5413</v>
      </c>
      <c r="D12" s="23">
        <v>0.92159999999999997</v>
      </c>
      <c r="E12" s="18">
        <v>0.80020000000000002</v>
      </c>
      <c r="F12" s="23">
        <v>0.44679999999999997</v>
      </c>
      <c r="G12" s="39">
        <v>0.28270000000000001</v>
      </c>
      <c r="H12" s="6">
        <v>0.78390000000000004</v>
      </c>
      <c r="I12" s="22">
        <v>0.3911</v>
      </c>
      <c r="J12" s="6"/>
      <c r="K12" s="44"/>
    </row>
    <row r="13" spans="1:11" s="4" customFormat="1" x14ac:dyDescent="0.35">
      <c r="A13" s="5" t="s">
        <v>32</v>
      </c>
      <c r="B13" s="37">
        <v>0.1048</v>
      </c>
      <c r="C13" s="41">
        <v>0.33479999999999999</v>
      </c>
      <c r="D13" s="37">
        <v>0.91620000000000001</v>
      </c>
      <c r="E13" s="41">
        <v>0.51590000000000003</v>
      </c>
      <c r="F13" s="37">
        <v>0.40439999999999998</v>
      </c>
      <c r="G13" s="42">
        <v>0.48070000000000002</v>
      </c>
      <c r="H13" s="43">
        <v>0.58499999999999996</v>
      </c>
      <c r="I13" s="46">
        <v>0.16220000000000001</v>
      </c>
      <c r="J13" s="7"/>
      <c r="K13" s="43"/>
    </row>
    <row r="14" spans="1:11" s="12" customFormat="1" x14ac:dyDescent="0.35">
      <c r="A14" s="2" t="s">
        <v>33</v>
      </c>
      <c r="B14" s="38">
        <v>0.9698</v>
      </c>
      <c r="C14" s="18">
        <v>0.59319999999999995</v>
      </c>
      <c r="D14" s="23">
        <v>0.75380000000000003</v>
      </c>
      <c r="E14" s="18">
        <v>0.8196</v>
      </c>
      <c r="F14" s="23">
        <v>0.61719999999999997</v>
      </c>
      <c r="G14" s="50">
        <v>0.15240000000000001</v>
      </c>
      <c r="H14" s="44">
        <v>0.51700000000000002</v>
      </c>
      <c r="I14" s="22">
        <v>4.7480000000000001E-2</v>
      </c>
      <c r="J14" s="6"/>
      <c r="K14" s="44"/>
    </row>
    <row r="15" spans="1:11" s="4" customFormat="1" x14ac:dyDescent="0.35">
      <c r="A15" s="5" t="s">
        <v>34</v>
      </c>
      <c r="B15" s="37">
        <v>0.1467</v>
      </c>
      <c r="C15" s="41">
        <v>0.5464</v>
      </c>
      <c r="D15" s="37">
        <v>0.9204</v>
      </c>
      <c r="E15" s="41">
        <v>0.57389999999999997</v>
      </c>
      <c r="F15" s="37">
        <v>0.68169999999999997</v>
      </c>
      <c r="G15" s="45">
        <v>0.57799999999999996</v>
      </c>
      <c r="H15" s="7">
        <v>0.49930000000000002</v>
      </c>
      <c r="I15" s="46">
        <v>0.24260000000000001</v>
      </c>
      <c r="J15" s="7"/>
      <c r="K15" s="43"/>
    </row>
    <row r="16" spans="1:11" s="12" customFormat="1" x14ac:dyDescent="0.35">
      <c r="A16" s="2" t="s">
        <v>35</v>
      </c>
      <c r="B16" s="38">
        <v>0.84089999999999998</v>
      </c>
      <c r="C16" s="18">
        <v>0.3584</v>
      </c>
      <c r="D16" s="23">
        <v>0.50770000000000004</v>
      </c>
      <c r="E16" s="18">
        <v>0.84089999999999998</v>
      </c>
      <c r="F16" s="23">
        <v>0.3584</v>
      </c>
      <c r="G16" s="20">
        <v>0.67789999999999995</v>
      </c>
      <c r="H16" s="6">
        <v>0.67789999999999995</v>
      </c>
      <c r="I16" s="20">
        <v>9.5100000000000004E-2</v>
      </c>
      <c r="J16" s="6"/>
      <c r="K16" s="44"/>
    </row>
    <row r="17" spans="1:11" s="4" customFormat="1" x14ac:dyDescent="0.35">
      <c r="A17" s="5" t="s">
        <v>36</v>
      </c>
      <c r="B17" s="37">
        <v>0.15459999999999999</v>
      </c>
      <c r="C17" s="41">
        <v>0.67789999999999995</v>
      </c>
      <c r="D17" s="37">
        <v>0.95409999999999995</v>
      </c>
      <c r="E17" s="41">
        <v>0.99580000000000002</v>
      </c>
      <c r="F17" s="37">
        <v>0.95409999999999995</v>
      </c>
      <c r="G17" s="45">
        <v>1</v>
      </c>
      <c r="H17" s="7">
        <v>0.3584</v>
      </c>
      <c r="I17" s="46">
        <v>0.3584</v>
      </c>
      <c r="J17" s="7"/>
      <c r="K17" s="43"/>
    </row>
    <row r="18" spans="1:11" s="12" customFormat="1" x14ac:dyDescent="0.35">
      <c r="A18" s="2" t="s">
        <v>37</v>
      </c>
      <c r="B18" s="38">
        <v>-2.8400000000000002E-2</v>
      </c>
      <c r="C18" s="18">
        <v>0.1227</v>
      </c>
      <c r="D18" s="23">
        <v>-1.9699999999999999E-2</v>
      </c>
      <c r="E18" s="18">
        <v>-5.0799999999999998E-2</v>
      </c>
      <c r="F18" s="23">
        <v>-0.15290000000000001</v>
      </c>
      <c r="G18" s="50">
        <v>-0.216</v>
      </c>
      <c r="H18" s="44">
        <v>-5.5E-2</v>
      </c>
      <c r="I18" s="22">
        <v>0.1724</v>
      </c>
      <c r="J18" s="6"/>
      <c r="K18" s="44"/>
    </row>
    <row r="19" spans="1:11" s="4" customFormat="1" x14ac:dyDescent="0.35">
      <c r="A19" s="5" t="s">
        <v>38</v>
      </c>
      <c r="B19" s="37">
        <v>0.3276</v>
      </c>
      <c r="C19" s="41">
        <v>0.19389999999999999</v>
      </c>
      <c r="D19" s="37">
        <v>-2.1100000000000001E-2</v>
      </c>
      <c r="E19" s="41">
        <v>0.13039999999999999</v>
      </c>
      <c r="F19" s="37">
        <v>-0.1676</v>
      </c>
      <c r="G19" s="45">
        <v>-0.1416</v>
      </c>
      <c r="H19" s="7">
        <v>0.1096</v>
      </c>
      <c r="I19" s="46">
        <v>0.28179999999999999</v>
      </c>
      <c r="J19" s="7"/>
      <c r="K19" s="43"/>
    </row>
    <row r="20" spans="1:11" ht="174" x14ac:dyDescent="0.35">
      <c r="A20" s="8" t="s">
        <v>9</v>
      </c>
      <c r="B20" s="17" t="s">
        <v>28</v>
      </c>
      <c r="C20" s="9" t="s">
        <v>12</v>
      </c>
      <c r="D20" s="24" t="s">
        <v>39</v>
      </c>
      <c r="E20" s="9" t="s">
        <v>11</v>
      </c>
      <c r="F20" s="25" t="s">
        <v>14</v>
      </c>
      <c r="G20" s="27" t="s">
        <v>17</v>
      </c>
      <c r="H20" s="19" t="s">
        <v>16</v>
      </c>
      <c r="I20" s="15" t="s">
        <v>27</v>
      </c>
      <c r="J20" s="9" t="s">
        <v>20</v>
      </c>
      <c r="K20" s="19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Freiheit</dc:creator>
  <cp:lastModifiedBy>Stefanie Freiheit</cp:lastModifiedBy>
  <dcterms:created xsi:type="dcterms:W3CDTF">2026-04-17T08:30:27Z</dcterms:created>
  <dcterms:modified xsi:type="dcterms:W3CDTF">2026-04-17T14:29:22Z</dcterms:modified>
</cp:coreProperties>
</file>